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PSX Portfolio" sheetId="2" r:id="rId2"/>
    <sheet name="Mutual Funds" sheetId="3" r:id="rId3"/>
    <sheet name="Provident Fund" sheetId="4" r:id="rId4"/>
    <sheet name="Meezan Pension" sheetId="5" r:id="rId5"/>
    <sheet name="Dividend Tracker" sheetId="6" r:id="rId6"/>
    <sheet name="Transactions" sheetId="7" r:id="rId7"/>
    <sheet name="Allocation" sheetId="8" r:id="rId8"/>
    <sheet name="Net Worth History" sheetId="9" r:id="rId9"/>
  </sheets>
  <calcPr calcId="124519" fullCalcOnLoad="1"/>
</workbook>
</file>

<file path=xl/sharedStrings.xml><?xml version="1.0" encoding="utf-8"?>
<sst xmlns="http://schemas.openxmlformats.org/spreadsheetml/2006/main" count="175" uniqueCount="128">
  <si>
    <t>ZAIN WEALTH MANAGER PRO</t>
  </si>
  <si>
    <t>Investor</t>
  </si>
  <si>
    <t>Muhammad Zain ul Abedeen</t>
  </si>
  <si>
    <t>Broker</t>
  </si>
  <si>
    <t>JS Global</t>
  </si>
  <si>
    <t>Net Worth</t>
  </si>
  <si>
    <t>Investment</t>
  </si>
  <si>
    <t>Current Value</t>
  </si>
  <si>
    <t>Profit / Loss</t>
  </si>
  <si>
    <t>XIRR</t>
  </si>
  <si>
    <t>9.41%</t>
  </si>
  <si>
    <t>Health Score</t>
  </si>
  <si>
    <t>80/100</t>
  </si>
  <si>
    <t>Dividend Yield</t>
  </si>
  <si>
    <t>1.68%</t>
  </si>
  <si>
    <t>Monthly Investment Plan</t>
  </si>
  <si>
    <t>PSX</t>
  </si>
  <si>
    <t>KMIF</t>
  </si>
  <si>
    <t>MIF</t>
  </si>
  <si>
    <t>Pension</t>
  </si>
  <si>
    <t>Provident Fund</t>
  </si>
  <si>
    <t>Mutual Funds</t>
  </si>
  <si>
    <t>Jan-2026</t>
  </si>
  <si>
    <t>Feb-2026</t>
  </si>
  <si>
    <t>Mar-2026</t>
  </si>
  <si>
    <t>Apr-2026</t>
  </si>
  <si>
    <t>May-2026</t>
  </si>
  <si>
    <t>Jun-2026</t>
  </si>
  <si>
    <t>Financial Goals</t>
  </si>
  <si>
    <t>Target Net Worth</t>
  </si>
  <si>
    <t>Current Net Worth</t>
  </si>
  <si>
    <t>Progress</t>
  </si>
  <si>
    <t>1.54%</t>
  </si>
  <si>
    <t>Years Remaining</t>
  </si>
  <si>
    <t>Monthly Investment</t>
  </si>
  <si>
    <t>Portfolio Performance</t>
  </si>
  <si>
    <t>CAGR</t>
  </si>
  <si>
    <t>14.8%</t>
  </si>
  <si>
    <t>Rating</t>
  </si>
  <si>
    <t>A</t>
  </si>
  <si>
    <t>AI Investment Advisor</t>
  </si>
  <si>
    <t>• Excellent portfolio health.</t>
  </si>
  <si>
    <t>• Goal progress is 1.54%. Continue regular investing.</t>
  </si>
  <si>
    <t>• Dividend income is strong.</t>
  </si>
  <si>
    <t>• Portfolio is currently in profit.</t>
  </si>
  <si>
    <t>Prepared by Zain Wealth Manager Pro</t>
  </si>
  <si>
    <t>Pakistan Stock Exchange Portfolio</t>
  </si>
  <si>
    <t>Company</t>
  </si>
  <si>
    <t>Shares</t>
  </si>
  <si>
    <t>Avg Price</t>
  </si>
  <si>
    <t>Profit/Loss</t>
  </si>
  <si>
    <t>Return %</t>
  </si>
  <si>
    <t>FFC</t>
  </si>
  <si>
    <t>HUBC</t>
  </si>
  <si>
    <t>LUCK</t>
  </si>
  <si>
    <t>MARI</t>
  </si>
  <si>
    <t>MEBL</t>
  </si>
  <si>
    <t>SYS</t>
  </si>
  <si>
    <t>TOTAL</t>
  </si>
  <si>
    <t>Meezan Mutual Funds Portfolio</t>
  </si>
  <si>
    <t>Fund</t>
  </si>
  <si>
    <t>Units</t>
  </si>
  <si>
    <t>Allocation %</t>
  </si>
  <si>
    <t>Status</t>
  </si>
  <si>
    <t>KMIF Growth</t>
  </si>
  <si>
    <t>Core Holding</t>
  </si>
  <si>
    <t>MIF Growth</t>
  </si>
  <si>
    <t>Growth</t>
  </si>
  <si>
    <t>PROVIDENT FUND DASHBOARD</t>
  </si>
  <si>
    <t>Current Balance</t>
  </si>
  <si>
    <t>Employee Monthly</t>
  </si>
  <si>
    <t>Employer Monthly</t>
  </si>
  <si>
    <t>Monthly Total</t>
  </si>
  <si>
    <t>Annual Contribution</t>
  </si>
  <si>
    <t>Contribution History</t>
  </si>
  <si>
    <t>Month</t>
  </si>
  <si>
    <t>Contribution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</si>
  <si>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</si>
  <si>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</si>
  <si>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</si>
  <si>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</si>
  <si>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</si>
  <si>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</si>
  <si>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</si>
  <si>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</si>
  <si>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</si>
  <si>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</si>
  <si>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</si>
  <si>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</si>
  <si>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5 Year Projection</t>
  </si>
  <si>
    <t>Year</t>
  </si>
  <si>
    <t>Estimated Balance</t>
  </si>
  <si>
    <t>MEEZAN PENSION FUND</t>
  </si>
  <si>
    <t>Monthly Contribution</t>
  </si>
  <si>
    <t>Expected Return</t>
  </si>
  <si>
    <t>12%</t>
  </si>
  <si>
    <t>Retirement Age</t>
  </si>
  <si>
    <t>Estimated Value</t>
  </si>
  <si>
    <t>DIVIDEND TRACKER</t>
  </si>
  <si>
    <t>Estimated Annual Dividend</t>
  </si>
  <si>
    <t>Dividend / Share</t>
  </si>
  <si>
    <t>Annual Dividend</t>
  </si>
  <si>
    <t>ENGROH</t>
  </si>
  <si>
    <t>TRANSACTION HISTORY</t>
  </si>
  <si>
    <t>Date</t>
  </si>
  <si>
    <t>Asset</t>
  </si>
  <si>
    <t>Symbol</t>
  </si>
  <si>
    <t>Type</t>
  </si>
  <si>
    <t>Quantity</t>
  </si>
  <si>
    <t>Price</t>
  </si>
  <si>
    <t>Amount</t>
  </si>
  <si>
    <t>2024-01-10</t>
  </si>
  <si>
    <t>BUY</t>
  </si>
  <si>
    <t>2024-03-05</t>
  </si>
  <si>
    <t>2024-06-15</t>
  </si>
  <si>
    <t>Mutual Fund</t>
  </si>
  <si>
    <t>2025-02-18</t>
  </si>
  <si>
    <t>PORTFOLIO ASSET ALLOCATION</t>
  </si>
  <si>
    <t>Recommendation</t>
  </si>
  <si>
    <t>24.59%</t>
  </si>
  <si>
    <t>Average</t>
  </si>
  <si>
    <t>23.69%</t>
  </si>
  <si>
    <t>51.72%</t>
  </si>
  <si>
    <t>Good</t>
  </si>
  <si>
    <t>0.0%</t>
  </si>
  <si>
    <t>Increase</t>
  </si>
  <si>
    <t>NET WORTH HISTORY</t>
  </si>
  <si>
    <t>Total Records</t>
  </si>
</sst>
</file>

<file path=xl/styles.xml><?xml version="1.0" encoding="utf-8"?>
<styleSheet xmlns="http://schemas.openxmlformats.org/spreadsheetml/2006/main">
  <numFmts count="1">
    <numFmt numFmtId="164" formatCode="Rs #,##0.00"/>
  </numFmts>
  <fonts count="7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rgb="FF263238"/>
      <name val="Calibri"/>
      <family val="2"/>
      <scheme val="minor"/>
    </font>
    <font>
      <b/>
      <sz val="16"/>
      <color rgb="FF0B5CAD"/>
      <name val="Calibri"/>
      <family val="2"/>
      <scheme val="minor"/>
    </font>
    <font>
      <b/>
      <sz val="12"/>
      <color rgb="FF2E7D32"/>
      <name val="Calibri"/>
      <family val="2"/>
      <scheme val="minor"/>
    </font>
    <font>
      <b/>
      <sz val="12"/>
      <color rgb="FFC6282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5CA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3" fillId="4" borderId="1" xfId="0" applyFont="1" applyFill="1" applyBorder="1"/>
    <xf numFmtId="0" fontId="4" fillId="0" borderId="1" xfId="0" applyFont="1" applyBorder="1" applyAlignment="1">
      <alignment horizontal="center"/>
    </xf>
    <xf numFmtId="164" fontId="0" fillId="0" borderId="1" xfId="0" applyNumberFormat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Asset Allocation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Asset Allocation</c:v>
          </c:tx>
          <c:dLbls>
            <c:showCatName val="1"/>
            <c:showPercent val="1"/>
          </c:dLbls>
          <c:cat>
            <c:strRef>
              <c:f>Dashboard!$K$31:$K$34</c:f>
              <c:strCache>
                <c:ptCount val="4"/>
                <c:pt idx="0">
                  <c:v>PSX</c:v>
                </c:pt>
                <c:pt idx="1">
                  <c:v>Mutual Funds</c:v>
                </c:pt>
                <c:pt idx="2">
                  <c:v>Provident Fund</c:v>
                </c:pt>
                <c:pt idx="3">
                  <c:v>Pension</c:v>
                </c:pt>
              </c:strCache>
            </c:strRef>
          </c:cat>
          <c:val>
            <c:numRef>
              <c:f>Dashboard!$L$31:$L$34</c:f>
              <c:numCache>
                <c:formatCode>General</c:formatCode>
                <c:ptCount val="4"/>
                <c:pt idx="0">
                  <c:v>37800</c:v>
                </c:pt>
                <c:pt idx="1">
                  <c:v>36422</c:v>
                </c:pt>
                <c:pt idx="2">
                  <c:v>79520</c:v>
                </c:pt>
                <c:pt idx="3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Net Worth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Net Worth</c:v>
          </c:tx>
          <c:marker>
            <c:symbol val="circle"/>
            <c:size val="6"/>
          </c:marker>
          <c:cat>
            <c:strRef>
              <c:f>Dashboard!$K$46:$K$51</c:f>
              <c:strCache>
                <c:ptCount val="6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</c:strCache>
            </c:strRef>
          </c:cat>
          <c:val>
            <c:numRef>
              <c:f>Dashboard!$L$46:$L$51</c:f>
              <c:numCache>
                <c:formatCode>General</c:formatCode>
                <c:ptCount val="6"/>
                <c:pt idx="0">
                  <c:v>120000</c:v>
                </c:pt>
                <c:pt idx="1">
                  <c:v>126500</c:v>
                </c:pt>
                <c:pt idx="2">
                  <c:v>131200</c:v>
                </c:pt>
                <c:pt idx="3">
                  <c:v>137400</c:v>
                </c:pt>
                <c:pt idx="4">
                  <c:v>143800</c:v>
                </c:pt>
                <c:pt idx="5">
                  <c:v>148630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PKR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8</xdr:col>
      <xdr:colOff>1171575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9</xdr:col>
      <xdr:colOff>342900</xdr:colOff>
      <xdr:row>49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51"/>
  <sheetViews>
    <sheetView tabSelected="1" workbookViewId="0"/>
  </sheetViews>
  <sheetFormatPr defaultRowHeight="15"/>
  <cols>
    <col min="1" max="1" width="4.7109375" customWidth="1"/>
    <col min="2" max="9" width="22.7109375" customWidth="1"/>
  </cols>
  <sheetData>
    <row r="2" spans="2:9">
      <c r="B2" s="1" t="s">
        <v>0</v>
      </c>
      <c r="C2" s="1"/>
      <c r="D2" s="1"/>
      <c r="E2" s="1"/>
      <c r="F2" s="1"/>
      <c r="G2" s="1"/>
      <c r="H2" s="1"/>
      <c r="I2" s="1"/>
    </row>
    <row r="3" spans="2:9">
      <c r="B3" s="1"/>
      <c r="C3" s="1"/>
      <c r="D3" s="1"/>
      <c r="E3" s="1"/>
      <c r="F3" s="1"/>
      <c r="G3" s="1"/>
      <c r="H3" s="1"/>
      <c r="I3" s="1"/>
    </row>
    <row r="4" spans="2:9">
      <c r="B4" s="2" t="s">
        <v>1</v>
      </c>
      <c r="C4" s="3" t="s">
        <v>2</v>
      </c>
      <c r="F4" s="2" t="s">
        <v>3</v>
      </c>
      <c r="G4" s="3" t="s">
        <v>4</v>
      </c>
    </row>
    <row r="8" spans="2:9">
      <c r="B8" s="4" t="s">
        <v>5</v>
      </c>
      <c r="C8" s="4"/>
      <c r="F8" s="2" t="s">
        <v>15</v>
      </c>
    </row>
    <row r="9" spans="2:9">
      <c r="B9" s="5">
        <v>153742</v>
      </c>
      <c r="C9" s="5"/>
      <c r="F9" s="3" t="s">
        <v>16</v>
      </c>
      <c r="G9" s="6">
        <v>7000</v>
      </c>
    </row>
    <row r="10" spans="2:9">
      <c r="F10" s="3" t="s">
        <v>17</v>
      </c>
      <c r="G10" s="6">
        <v>1000</v>
      </c>
    </row>
    <row r="11" spans="2:9">
      <c r="B11" s="4" t="s">
        <v>6</v>
      </c>
      <c r="C11" s="4"/>
      <c r="F11" s="3" t="s">
        <v>18</v>
      </c>
      <c r="G11" s="6">
        <v>1000</v>
      </c>
    </row>
    <row r="12" spans="2:9">
      <c r="B12" s="5">
        <v>68422</v>
      </c>
      <c r="C12" s="5"/>
      <c r="F12" s="3" t="s">
        <v>19</v>
      </c>
      <c r="G12" s="6">
        <v>1000</v>
      </c>
    </row>
    <row r="13" spans="2:9">
      <c r="F13" s="3" t="s">
        <v>20</v>
      </c>
      <c r="G13" s="6">
        <v>5680</v>
      </c>
    </row>
    <row r="14" spans="2:9">
      <c r="B14" s="4" t="s">
        <v>7</v>
      </c>
      <c r="C14" s="4"/>
    </row>
    <row r="15" spans="2:9">
      <c r="B15" s="5">
        <v>74222</v>
      </c>
      <c r="C15" s="5"/>
    </row>
    <row r="17" spans="2:12">
      <c r="B17" s="4" t="s">
        <v>8</v>
      </c>
      <c r="C17" s="4"/>
    </row>
    <row r="18" spans="2:12">
      <c r="B18" s="5">
        <v>5800</v>
      </c>
      <c r="C18" s="5"/>
      <c r="F18" s="2" t="s">
        <v>28</v>
      </c>
    </row>
    <row r="19" spans="2:12">
      <c r="F19" s="3" t="s">
        <v>29</v>
      </c>
      <c r="G19" s="6">
        <v>10000000</v>
      </c>
    </row>
    <row r="20" spans="2:12">
      <c r="B20" s="4" t="s">
        <v>9</v>
      </c>
      <c r="C20" s="4"/>
      <c r="F20" s="3" t="s">
        <v>30</v>
      </c>
      <c r="G20" s="6">
        <v>153742</v>
      </c>
    </row>
    <row r="21" spans="2:12">
      <c r="B21" s="5" t="s">
        <v>10</v>
      </c>
      <c r="C21" s="5"/>
      <c r="F21" s="3" t="s">
        <v>31</v>
      </c>
      <c r="G21" s="3" t="s">
        <v>32</v>
      </c>
    </row>
    <row r="22" spans="2:12">
      <c r="F22" s="3" t="s">
        <v>33</v>
      </c>
      <c r="G22" s="3">
        <v>9</v>
      </c>
    </row>
    <row r="23" spans="2:12">
      <c r="B23" s="4" t="s">
        <v>11</v>
      </c>
      <c r="C23" s="4"/>
      <c r="F23" s="3" t="s">
        <v>34</v>
      </c>
      <c r="G23" s="6">
        <v>15680</v>
      </c>
    </row>
    <row r="24" spans="2:12">
      <c r="B24" s="5" t="s">
        <v>12</v>
      </c>
      <c r="C24" s="5"/>
    </row>
    <row r="25" spans="2:12">
      <c r="F25" s="2" t="s">
        <v>35</v>
      </c>
    </row>
    <row r="26" spans="2:12">
      <c r="B26" s="4" t="s">
        <v>13</v>
      </c>
      <c r="C26" s="4"/>
      <c r="F26" s="3" t="s">
        <v>36</v>
      </c>
      <c r="G26" t="s">
        <v>37</v>
      </c>
    </row>
    <row r="27" spans="2:12">
      <c r="B27" s="5" t="s">
        <v>14</v>
      </c>
      <c r="C27" s="5"/>
      <c r="F27" s="3" t="s">
        <v>9</v>
      </c>
      <c r="G27" t="s">
        <v>10</v>
      </c>
    </row>
    <row r="28" spans="2:12">
      <c r="F28" s="3" t="s">
        <v>13</v>
      </c>
      <c r="G28" t="s">
        <v>14</v>
      </c>
    </row>
    <row r="29" spans="2:12">
      <c r="F29" s="3" t="s">
        <v>38</v>
      </c>
      <c r="G29" s="2" t="s">
        <v>39</v>
      </c>
    </row>
    <row r="31" spans="2:12">
      <c r="K31" t="s">
        <v>16</v>
      </c>
      <c r="L31">
        <v>37800</v>
      </c>
    </row>
    <row r="32" spans="2:12">
      <c r="K32" t="s">
        <v>21</v>
      </c>
      <c r="L32">
        <v>36422</v>
      </c>
    </row>
    <row r="33" spans="2:12">
      <c r="K33" t="s">
        <v>20</v>
      </c>
      <c r="L33">
        <v>79520</v>
      </c>
    </row>
    <row r="34" spans="2:12">
      <c r="B34" s="2" t="s">
        <v>40</v>
      </c>
      <c r="K34" t="s">
        <v>19</v>
      </c>
      <c r="L34">
        <v>0</v>
      </c>
    </row>
    <row r="36" spans="2:12">
      <c r="B36" s="3" t="s">
        <v>41</v>
      </c>
    </row>
    <row r="37" spans="2:12">
      <c r="B37" s="3" t="s">
        <v>42</v>
      </c>
    </row>
    <row r="38" spans="2:12">
      <c r="B38" s="3" t="s">
        <v>43</v>
      </c>
    </row>
    <row r="39" spans="2:12">
      <c r="B39" s="3" t="s">
        <v>44</v>
      </c>
    </row>
    <row r="45" spans="2:12">
      <c r="B45" s="2" t="s">
        <v>45</v>
      </c>
      <c r="C45" s="2"/>
      <c r="D45" s="2"/>
      <c r="E45" s="2"/>
      <c r="F45" s="2"/>
      <c r="G45" s="2"/>
      <c r="H45" s="2"/>
      <c r="I45" s="2"/>
    </row>
    <row r="46" spans="2:12">
      <c r="K46" t="s">
        <v>22</v>
      </c>
      <c r="L46">
        <v>120000</v>
      </c>
    </row>
    <row r="47" spans="2:12">
      <c r="K47" t="s">
        <v>23</v>
      </c>
      <c r="L47">
        <v>126500</v>
      </c>
    </row>
    <row r="48" spans="2:12">
      <c r="K48" t="s">
        <v>24</v>
      </c>
      <c r="L48">
        <v>131200</v>
      </c>
    </row>
    <row r="49" spans="11:12">
      <c r="K49" t="s">
        <v>25</v>
      </c>
      <c r="L49">
        <v>137400</v>
      </c>
    </row>
    <row r="50" spans="11:12">
      <c r="K50" t="s">
        <v>26</v>
      </c>
      <c r="L50">
        <v>143800</v>
      </c>
    </row>
    <row r="51" spans="11:12">
      <c r="K51" t="s">
        <v>27</v>
      </c>
      <c r="L51">
        <v>148630</v>
      </c>
    </row>
  </sheetData>
  <mergeCells count="16">
    <mergeCell ref="B2:I3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  <mergeCell ref="B45:I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7" width="18.7109375" customWidth="1"/>
  </cols>
  <sheetData>
    <row r="1" spans="1:7">
      <c r="A1" s="1" t="s">
        <v>46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2" t="s">
        <v>47</v>
      </c>
      <c r="B4" s="2" t="s">
        <v>48</v>
      </c>
      <c r="C4" s="2" t="s">
        <v>49</v>
      </c>
      <c r="D4" s="2" t="s">
        <v>6</v>
      </c>
      <c r="E4" s="2" t="s">
        <v>7</v>
      </c>
      <c r="F4" s="2" t="s">
        <v>50</v>
      </c>
      <c r="G4" s="2" t="s">
        <v>51</v>
      </c>
    </row>
    <row r="5" spans="1:7">
      <c r="A5" s="3" t="s">
        <v>52</v>
      </c>
      <c r="B5" s="3">
        <v>37</v>
      </c>
      <c r="C5" s="6">
        <v>558.54</v>
      </c>
      <c r="D5" s="6">
        <v>20665.98</v>
      </c>
      <c r="E5" s="6">
        <v>21173.25</v>
      </c>
      <c r="F5" s="7">
        <v>507.2700000000004</v>
      </c>
      <c r="G5">
        <v>0.02454613814588035</v>
      </c>
    </row>
    <row r="6" spans="1:7">
      <c r="A6" s="3" t="s">
        <v>53</v>
      </c>
      <c r="B6" s="3">
        <v>23</v>
      </c>
      <c r="C6" s="6">
        <v>214.96</v>
      </c>
      <c r="D6" s="6">
        <v>4944.08</v>
      </c>
      <c r="E6" s="6">
        <v>5391.2</v>
      </c>
      <c r="F6" s="7">
        <v>447.1199999999999</v>
      </c>
      <c r="G6">
        <v>0.09043542984741344</v>
      </c>
    </row>
    <row r="7" spans="1:7">
      <c r="A7" s="3" t="s">
        <v>54</v>
      </c>
      <c r="B7" s="3">
        <v>16</v>
      </c>
      <c r="C7" s="6">
        <v>437.61</v>
      </c>
      <c r="D7" s="6">
        <v>7001.76</v>
      </c>
      <c r="E7" s="6">
        <v>7532.8</v>
      </c>
      <c r="F7" s="7">
        <v>531.04</v>
      </c>
      <c r="G7">
        <v>0.07584378784762688</v>
      </c>
    </row>
    <row r="8" spans="1:7">
      <c r="A8" s="3" t="s">
        <v>55</v>
      </c>
      <c r="B8" s="3">
        <v>48</v>
      </c>
      <c r="C8" s="6">
        <v>661.36</v>
      </c>
      <c r="D8" s="6">
        <v>31745.28</v>
      </c>
      <c r="E8" s="6">
        <v>32332.8</v>
      </c>
      <c r="F8" s="7">
        <v>587.5200000000041</v>
      </c>
      <c r="G8">
        <v>0.01850731825329637</v>
      </c>
    </row>
    <row r="9" spans="1:7">
      <c r="A9" s="3" t="s">
        <v>56</v>
      </c>
      <c r="B9" s="3">
        <v>34</v>
      </c>
      <c r="C9" s="6">
        <v>491.87</v>
      </c>
      <c r="D9" s="6">
        <v>16723.58</v>
      </c>
      <c r="E9" s="6">
        <v>18428.68</v>
      </c>
      <c r="F9" s="7">
        <v>1705.099999999999</v>
      </c>
      <c r="G9">
        <v>0.1019578343871347</v>
      </c>
    </row>
    <row r="10" spans="1:7">
      <c r="A10" s="3" t="s">
        <v>57</v>
      </c>
      <c r="B10" s="3">
        <v>103</v>
      </c>
      <c r="C10" s="6">
        <v>149.49</v>
      </c>
      <c r="D10" s="6">
        <v>15397.47</v>
      </c>
      <c r="E10" s="6">
        <v>15308.89</v>
      </c>
      <c r="F10" s="8">
        <v>-88.58000000000175</v>
      </c>
      <c r="G10">
        <v>-0.005752893170111826</v>
      </c>
    </row>
    <row r="12" spans="1:7">
      <c r="C12" s="2" t="s">
        <v>58</v>
      </c>
      <c r="D12" s="6">
        <v>96478.14999999999</v>
      </c>
      <c r="E12" s="6">
        <v>100167.62</v>
      </c>
      <c r="F12" s="7">
        <v>3689.470000000016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5" width="22.7109375" customWidth="1"/>
  </cols>
  <sheetData>
    <row r="1" spans="1:5">
      <c r="A1" s="1" t="s">
        <v>59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2" t="s">
        <v>60</v>
      </c>
      <c r="B4" s="2" t="s">
        <v>61</v>
      </c>
      <c r="C4" s="2" t="s">
        <v>7</v>
      </c>
      <c r="D4" s="2" t="s">
        <v>62</v>
      </c>
      <c r="E4" s="2" t="s">
        <v>63</v>
      </c>
    </row>
    <row r="5" spans="1:5">
      <c r="A5" s="3" t="s">
        <v>64</v>
      </c>
      <c r="B5" s="3">
        <v>104.1872</v>
      </c>
      <c r="C5" s="6">
        <v>19006</v>
      </c>
      <c r="D5">
        <v>0.5218274669156004</v>
      </c>
      <c r="E5" s="7" t="s">
        <v>65</v>
      </c>
    </row>
    <row r="6" spans="1:5">
      <c r="A6" s="3" t="s">
        <v>66</v>
      </c>
      <c r="B6" s="3">
        <v>103.2935</v>
      </c>
      <c r="C6" s="6">
        <v>17416</v>
      </c>
      <c r="D6">
        <v>0.4781725330843996</v>
      </c>
      <c r="E6" s="3" t="s">
        <v>67</v>
      </c>
    </row>
    <row r="8" spans="1:5">
      <c r="B8" s="2" t="s">
        <v>58</v>
      </c>
      <c r="C8" s="6">
        <v>36422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8.7109375" customWidth="1"/>
    <col min="2" max="2" width="18.7109375" customWidth="1"/>
    <col min="4" max="5" width="18.7109375" customWidth="1"/>
  </cols>
  <sheetData>
    <row r="1" spans="1:5">
      <c r="A1" s="1" t="s">
        <v>68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D4" s="2" t="s">
        <v>74</v>
      </c>
    </row>
    <row r="5" spans="1:5">
      <c r="A5" s="2" t="s">
        <v>69</v>
      </c>
      <c r="B5" s="6">
        <v>79520</v>
      </c>
      <c r="D5" s="2" t="s">
        <v>75</v>
      </c>
      <c r="E5" s="2" t="s">
        <v>76</v>
      </c>
    </row>
    <row r="6" spans="1:5">
      <c r="D6" s="3" t="s">
        <v>77</v>
      </c>
      <c r="E6" s="6">
        <v>5680</v>
      </c>
    </row>
    <row r="7" spans="1:5">
      <c r="A7" s="2" t="s">
        <v>70</v>
      </c>
      <c r="B7" s="6">
        <v>2840</v>
      </c>
      <c r="D7" s="3" t="s">
        <v>78</v>
      </c>
      <c r="E7" s="6">
        <v>5680</v>
      </c>
    </row>
    <row r="8" spans="1:5">
      <c r="D8" s="3" t="s">
        <v>79</v>
      </c>
      <c r="E8" s="6">
        <v>5680</v>
      </c>
    </row>
    <row r="9" spans="1:5">
      <c r="A9" s="2" t="s">
        <v>71</v>
      </c>
      <c r="B9" s="6">
        <v>2840</v>
      </c>
      <c r="D9" s="3" t="s">
        <v>80</v>
      </c>
      <c r="E9" s="6">
        <v>5680</v>
      </c>
    </row>
    <row r="10" spans="1:5">
      <c r="D10" s="3" t="s">
        <v>81</v>
      </c>
      <c r="E10" s="6">
        <v>5680</v>
      </c>
    </row>
    <row r="11" spans="1:5">
      <c r="A11" s="2" t="s">
        <v>72</v>
      </c>
      <c r="B11" s="6">
        <v>5680</v>
      </c>
      <c r="D11" s="3" t="s">
        <v>82</v>
      </c>
      <c r="E11" s="6">
        <v>5680</v>
      </c>
    </row>
    <row r="12" spans="1:5">
      <c r="D12" s="3" t="s">
        <v>83</v>
      </c>
      <c r="E12" s="6">
        <v>5680</v>
      </c>
    </row>
    <row r="13" spans="1:5">
      <c r="A13" s="2" t="s">
        <v>73</v>
      </c>
      <c r="B13" s="6">
        <v>68160</v>
      </c>
      <c r="D13" s="3" t="s">
        <v>84</v>
      </c>
      <c r="E13" s="6">
        <v>5680</v>
      </c>
    </row>
    <row r="14" spans="1:5">
      <c r="D14" s="3" t="s">
        <v>85</v>
      </c>
      <c r="E14" s="6">
        <v>5680</v>
      </c>
    </row>
    <row r="15" spans="1:5">
      <c r="D15" s="3" t="s">
        <v>86</v>
      </c>
      <c r="E15" s="6">
        <v>5680</v>
      </c>
    </row>
    <row r="16" spans="1:5">
      <c r="D16" s="3" t="s">
        <v>87</v>
      </c>
      <c r="E16" s="6">
        <v>5680</v>
      </c>
    </row>
    <row r="17" spans="1:5">
      <c r="D17" s="3" t="s">
        <v>88</v>
      </c>
      <c r="E17" s="6">
        <v>5680</v>
      </c>
    </row>
    <row r="18" spans="1:5">
      <c r="A18" s="2" t="s">
        <v>89</v>
      </c>
    </row>
    <row r="19" spans="1:5">
      <c r="A19" s="2" t="s">
        <v>90</v>
      </c>
      <c r="B19" s="2" t="s">
        <v>91</v>
      </c>
    </row>
    <row r="21" spans="1:5">
      <c r="A21" s="3">
        <v>2027</v>
      </c>
      <c r="B21" s="6">
        <v>165401.6</v>
      </c>
    </row>
    <row r="22" spans="1:5">
      <c r="A22" s="3">
        <v>2028</v>
      </c>
      <c r="B22" s="6">
        <v>261588.99</v>
      </c>
    </row>
    <row r="23" spans="1:5">
      <c r="A23" s="3">
        <v>2029</v>
      </c>
      <c r="B23" s="6">
        <v>369318.87</v>
      </c>
    </row>
    <row r="24" spans="1:5">
      <c r="A24" s="3">
        <v>2030</v>
      </c>
      <c r="B24" s="6">
        <v>489976.34</v>
      </c>
    </row>
    <row r="25" spans="1:5">
      <c r="A25" s="3">
        <v>2031</v>
      </c>
      <c r="B25" s="6">
        <v>625112.7</v>
      </c>
    </row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30.7109375" customWidth="1"/>
    <col min="2" max="2" width="18.7109375" customWidth="1"/>
  </cols>
  <sheetData>
    <row r="1" spans="1:5">
      <c r="A1" s="1" t="s">
        <v>92</v>
      </c>
      <c r="B1" s="1"/>
    </row>
    <row r="2" spans="1:5">
      <c r="A2" s="1"/>
      <c r="B2" s="1"/>
    </row>
    <row r="4" spans="1:5">
      <c r="D4" s="2" t="s">
        <v>89</v>
      </c>
    </row>
    <row r="5" spans="1:5">
      <c r="A5" s="2" t="s">
        <v>7</v>
      </c>
      <c r="B5" s="6">
        <v>0</v>
      </c>
      <c r="D5" s="2" t="s">
        <v>90</v>
      </c>
      <c r="E5" s="2" t="s">
        <v>97</v>
      </c>
    </row>
    <row r="6" spans="1:5">
      <c r="D6" s="3">
        <v>2027</v>
      </c>
      <c r="E6" s="6">
        <v>13440</v>
      </c>
    </row>
    <row r="7" spans="1:5">
      <c r="A7" s="2" t="s">
        <v>93</v>
      </c>
      <c r="B7" s="6">
        <v>1000</v>
      </c>
      <c r="D7" s="3">
        <v>2028</v>
      </c>
      <c r="E7" s="6">
        <v>28492.8</v>
      </c>
    </row>
    <row r="8" spans="1:5">
      <c r="D8" s="3">
        <v>2029</v>
      </c>
      <c r="E8" s="6">
        <v>45351.94</v>
      </c>
    </row>
    <row r="9" spans="1:5">
      <c r="A9" s="2" t="s">
        <v>73</v>
      </c>
      <c r="B9" s="6">
        <v>12000</v>
      </c>
      <c r="D9" s="3">
        <v>2030</v>
      </c>
      <c r="E9" s="6">
        <v>64234.17</v>
      </c>
    </row>
    <row r="10" spans="1:5">
      <c r="D10" s="3">
        <v>2031</v>
      </c>
      <c r="E10" s="6">
        <v>85382.27</v>
      </c>
    </row>
    <row r="11" spans="1:5">
      <c r="A11" s="2" t="s">
        <v>94</v>
      </c>
      <c r="B11" s="3" t="s">
        <v>95</v>
      </c>
    </row>
    <row r="13" spans="1:5">
      <c r="A13" s="2" t="s">
        <v>96</v>
      </c>
      <c r="B13" s="6">
        <v>60</v>
      </c>
    </row>
  </sheetData>
  <mergeCells count="1">
    <mergeCell ref="A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2.7109375" customWidth="1"/>
  </cols>
  <sheetData>
    <row r="1" spans="1:4">
      <c r="A1" s="1" t="s">
        <v>98</v>
      </c>
      <c r="B1" s="1"/>
      <c r="C1" s="1"/>
      <c r="D1" s="1"/>
    </row>
    <row r="2" spans="1:4">
      <c r="A2" s="1"/>
      <c r="B2" s="1"/>
      <c r="C2" s="1"/>
      <c r="D2" s="1"/>
    </row>
    <row r="4" spans="1:4">
      <c r="A4" s="2" t="s">
        <v>99</v>
      </c>
      <c r="B4" s="6">
        <v>1250</v>
      </c>
    </row>
    <row r="7" spans="1:4">
      <c r="A7" s="2" t="s">
        <v>47</v>
      </c>
      <c r="B7" s="2" t="s">
        <v>48</v>
      </c>
      <c r="C7" s="2" t="s">
        <v>100</v>
      </c>
      <c r="D7" s="2" t="s">
        <v>101</v>
      </c>
    </row>
    <row r="8" spans="1:4">
      <c r="A8" s="3" t="s">
        <v>56</v>
      </c>
      <c r="B8" s="3">
        <v>100</v>
      </c>
      <c r="C8" s="6">
        <v>8</v>
      </c>
      <c r="D8" s="6">
        <v>800</v>
      </c>
    </row>
    <row r="9" spans="1:4">
      <c r="A9" s="3" t="s">
        <v>52</v>
      </c>
      <c r="B9" s="3">
        <v>50</v>
      </c>
      <c r="C9" s="6">
        <v>6.5</v>
      </c>
      <c r="D9" s="6">
        <v>325</v>
      </c>
    </row>
    <row r="10" spans="1:4">
      <c r="A10" s="3" t="s">
        <v>102</v>
      </c>
      <c r="B10" s="3">
        <v>25</v>
      </c>
      <c r="C10" s="6">
        <v>5</v>
      </c>
      <c r="D10" s="6">
        <v>125</v>
      </c>
    </row>
    <row r="12" spans="1:4">
      <c r="C12" s="2" t="s">
        <v>58</v>
      </c>
      <c r="D12" s="6">
        <v>1250</v>
      </c>
    </row>
  </sheetData>
  <mergeCells count="1">
    <mergeCell ref="A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18.7109375" customWidth="1"/>
  </cols>
  <sheetData>
    <row r="1" spans="1:7">
      <c r="A1" s="1" t="s">
        <v>103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2" t="s">
        <v>104</v>
      </c>
      <c r="B4" s="2" t="s">
        <v>105</v>
      </c>
      <c r="C4" s="2" t="s">
        <v>106</v>
      </c>
      <c r="D4" s="2" t="s">
        <v>107</v>
      </c>
      <c r="E4" s="2" t="s">
        <v>108</v>
      </c>
      <c r="F4" s="2" t="s">
        <v>109</v>
      </c>
      <c r="G4" s="2" t="s">
        <v>110</v>
      </c>
    </row>
    <row r="5" spans="1:7">
      <c r="A5" s="3" t="s">
        <v>111</v>
      </c>
      <c r="B5" s="3" t="s">
        <v>16</v>
      </c>
      <c r="C5" s="3" t="s">
        <v>56</v>
      </c>
      <c r="D5" s="3" t="s">
        <v>112</v>
      </c>
      <c r="E5" s="3">
        <v>100</v>
      </c>
      <c r="F5" s="6">
        <v>175.5</v>
      </c>
      <c r="G5" s="6">
        <v>17550</v>
      </c>
    </row>
    <row r="6" spans="1:7">
      <c r="A6" s="3" t="s">
        <v>113</v>
      </c>
      <c r="B6" s="3" t="s">
        <v>16</v>
      </c>
      <c r="C6" s="3" t="s">
        <v>52</v>
      </c>
      <c r="D6" s="3" t="s">
        <v>112</v>
      </c>
      <c r="E6" s="3">
        <v>50</v>
      </c>
      <c r="F6" s="6">
        <v>145</v>
      </c>
      <c r="G6" s="6">
        <v>7250</v>
      </c>
    </row>
    <row r="7" spans="1:7">
      <c r="A7" s="3" t="s">
        <v>114</v>
      </c>
      <c r="B7" s="3" t="s">
        <v>115</v>
      </c>
      <c r="C7" s="3" t="s">
        <v>17</v>
      </c>
      <c r="D7" s="3" t="s">
        <v>112</v>
      </c>
      <c r="E7" s="3">
        <v>200</v>
      </c>
      <c r="F7" s="6">
        <v>105.25</v>
      </c>
      <c r="G7" s="6">
        <v>21050</v>
      </c>
    </row>
    <row r="8" spans="1:7">
      <c r="A8" s="3" t="s">
        <v>116</v>
      </c>
      <c r="B8" s="3" t="s">
        <v>115</v>
      </c>
      <c r="C8" s="3" t="s">
        <v>18</v>
      </c>
      <c r="D8" s="3" t="s">
        <v>112</v>
      </c>
      <c r="E8" s="3">
        <v>150</v>
      </c>
      <c r="F8" s="6">
        <v>112.4</v>
      </c>
      <c r="G8" s="6">
        <v>16860</v>
      </c>
    </row>
    <row r="10" spans="1:7">
      <c r="F10" s="2" t="s">
        <v>58</v>
      </c>
      <c r="G10" s="6">
        <f>SUM(G5:G8)</f>
        <v>0</v>
      </c>
    </row>
  </sheetData>
  <mergeCells count="1">
    <mergeCell ref="A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22.7109375" customWidth="1"/>
  </cols>
  <sheetData>
    <row r="1" spans="1:4">
      <c r="A1" s="1" t="s">
        <v>117</v>
      </c>
      <c r="B1" s="1"/>
      <c r="C1" s="1"/>
      <c r="D1" s="1"/>
    </row>
    <row r="2" spans="1:4">
      <c r="A2" s="1"/>
      <c r="B2" s="1"/>
      <c r="C2" s="1"/>
      <c r="D2" s="1"/>
    </row>
    <row r="4" spans="1:4">
      <c r="A4" s="2" t="s">
        <v>105</v>
      </c>
      <c r="B4" s="2" t="s">
        <v>7</v>
      </c>
      <c r="C4" s="2" t="s">
        <v>62</v>
      </c>
      <c r="D4" s="2" t="s">
        <v>118</v>
      </c>
    </row>
    <row r="5" spans="1:4">
      <c r="A5" s="3" t="s">
        <v>16</v>
      </c>
      <c r="B5" s="6">
        <v>37800</v>
      </c>
      <c r="C5" s="3" t="s">
        <v>119</v>
      </c>
      <c r="D5" s="3" t="s">
        <v>120</v>
      </c>
    </row>
    <row r="6" spans="1:4">
      <c r="A6" s="3" t="s">
        <v>21</v>
      </c>
      <c r="B6" s="6">
        <v>36422</v>
      </c>
      <c r="C6" s="3" t="s">
        <v>121</v>
      </c>
      <c r="D6" s="3" t="s">
        <v>120</v>
      </c>
    </row>
    <row r="7" spans="1:4">
      <c r="A7" s="3" t="s">
        <v>20</v>
      </c>
      <c r="B7" s="6">
        <v>79520</v>
      </c>
      <c r="C7" s="3" t="s">
        <v>122</v>
      </c>
      <c r="D7" s="3" t="s">
        <v>123</v>
      </c>
    </row>
    <row r="8" spans="1:4">
      <c r="A8" s="3" t="s">
        <v>19</v>
      </c>
      <c r="B8" s="6">
        <v>0</v>
      </c>
      <c r="C8" s="3" t="s">
        <v>124</v>
      </c>
      <c r="D8" s="3" t="s">
        <v>125</v>
      </c>
    </row>
  </sheetData>
  <mergeCells count="1">
    <mergeCell ref="A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0.7109375" customWidth="1"/>
    <col min="2" max="2" width="22.7109375" customWidth="1"/>
  </cols>
  <sheetData>
    <row r="1" spans="1:2">
      <c r="A1" s="1" t="s">
        <v>126</v>
      </c>
      <c r="B1" s="1"/>
    </row>
    <row r="2" spans="1:2">
      <c r="A2" s="1"/>
      <c r="B2" s="1"/>
    </row>
    <row r="4" spans="1:2">
      <c r="A4" s="2" t="s">
        <v>75</v>
      </c>
      <c r="B4" s="2" t="s">
        <v>5</v>
      </c>
    </row>
    <row r="5" spans="1:2">
      <c r="A5" s="3" t="s">
        <v>22</v>
      </c>
      <c r="B5" s="6">
        <v>1250000</v>
      </c>
    </row>
    <row r="6" spans="1:2">
      <c r="A6" s="3" t="s">
        <v>23</v>
      </c>
      <c r="B6" s="6">
        <v>1285000</v>
      </c>
    </row>
    <row r="7" spans="1:2">
      <c r="A7" s="3" t="s">
        <v>24</v>
      </c>
      <c r="B7" s="6">
        <v>1320000</v>
      </c>
    </row>
    <row r="8" spans="1:2">
      <c r="A8" s="3" t="s">
        <v>25</v>
      </c>
      <c r="B8" s="6">
        <v>1355000</v>
      </c>
    </row>
    <row r="9" spans="1:2">
      <c r="A9" s="3" t="s">
        <v>26</v>
      </c>
      <c r="B9" s="6">
        <v>1390000</v>
      </c>
    </row>
    <row r="10" spans="1:2">
      <c r="A10" s="3" t="s">
        <v>27</v>
      </c>
      <c r="B10" s="6">
        <v>1435000</v>
      </c>
    </row>
    <row r="12" spans="1:2">
      <c r="A12" s="2" t="s">
        <v>127</v>
      </c>
      <c r="B12" s="3">
        <v>6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PSX Portfolio</vt:lpstr>
      <vt:lpstr>Mutual Funds</vt:lpstr>
      <vt:lpstr>Provident Fund</vt:lpstr>
      <vt:lpstr>Meezan Pension</vt:lpstr>
      <vt:lpstr>Dividend Tracker</vt:lpstr>
      <vt:lpstr>Transactions</vt:lpstr>
      <vt:lpstr>Allocation</vt:lpstr>
      <vt:lpstr>Net Worth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2026-07-03T10:57:15Z</dcterms:created>
  <dcterms:modified xsi:type="dcterms:W3CDTF">2026-07-03T10:57:15Z</dcterms:modified>
</cp:coreProperties>
</file>